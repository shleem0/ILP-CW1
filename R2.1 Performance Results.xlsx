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lt\Desktop\Stuff\Uni\Year 4\Software Testing\"/>
    </mc:Choice>
  </mc:AlternateContent>
  <xr:revisionPtr revIDLastSave="0" documentId="8_{E208656B-2ED3-425C-B93D-ECF63AB167F2}" xr6:coauthVersionLast="47" xr6:coauthVersionMax="47" xr10:uidLastSave="{00000000-0000-0000-0000-000000000000}"/>
  <bookViews>
    <workbookView xWindow="-108" yWindow="-108" windowWidth="23256" windowHeight="12456" xr2:uid="{1104BB93-DD96-475B-8B4F-B47033FBBB51}"/>
  </bookViews>
  <sheets>
    <sheet name="Sheet1" sheetId="1" r:id="rId1"/>
  </sheets>
  <definedNames>
    <definedName name="Times">Sheet1!$E$4:$E$18,Sheet1!$E$22:$E$33,Sheet1!$E$39:$E$46,Sheet1!$E$56:$E$70,Sheet1!$E$74:$E$81,Sheet1!$B$92:$B$99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9" i="1" l="1"/>
  <c r="A109" i="1"/>
  <c r="E81" i="1"/>
  <c r="E80" i="1"/>
  <c r="E79" i="1"/>
  <c r="E78" i="1"/>
  <c r="E77" i="1"/>
  <c r="E76" i="1"/>
  <c r="E75" i="1"/>
  <c r="E74" i="1"/>
  <c r="E70" i="1"/>
  <c r="E69" i="1"/>
  <c r="E68" i="1"/>
  <c r="E67" i="1"/>
  <c r="E66" i="1"/>
  <c r="E65" i="1"/>
  <c r="E64" i="1"/>
  <c r="A58" i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E63" i="1"/>
  <c r="E62" i="1"/>
  <c r="E61" i="1"/>
  <c r="E60" i="1"/>
  <c r="E59" i="1"/>
  <c r="E58" i="1"/>
  <c r="E57" i="1"/>
  <c r="E56" i="1"/>
  <c r="E40" i="1"/>
  <c r="E41" i="1"/>
  <c r="E42" i="1"/>
  <c r="E43" i="1"/>
  <c r="E44" i="1"/>
  <c r="E45" i="1"/>
  <c r="E46" i="1"/>
  <c r="E39" i="1"/>
  <c r="A40" i="1"/>
  <c r="A41" i="1" s="1"/>
  <c r="A42" i="1" s="1"/>
  <c r="A43" i="1" s="1"/>
  <c r="A44" i="1" s="1"/>
  <c r="A45" i="1" s="1"/>
  <c r="A46" i="1" s="1"/>
  <c r="E33" i="1"/>
  <c r="E32" i="1"/>
  <c r="E31" i="1"/>
  <c r="E30" i="1"/>
  <c r="E29" i="1"/>
  <c r="E28" i="1"/>
  <c r="E27" i="1"/>
  <c r="E26" i="1"/>
  <c r="E25" i="1"/>
  <c r="E24" i="1"/>
  <c r="E23" i="1"/>
  <c r="A23" i="1"/>
  <c r="E22" i="1"/>
  <c r="A2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4" i="1"/>
  <c r="A24" i="1" l="1"/>
  <c r="A25" i="1" s="1"/>
  <c r="A26" i="1" s="1"/>
  <c r="A27" i="1" s="1"/>
  <c r="A28" i="1" s="1"/>
  <c r="A29" i="1" s="1"/>
  <c r="A30" i="1" s="1"/>
  <c r="A31" i="1" s="1"/>
  <c r="A32" i="1" s="1"/>
  <c r="A33" i="1" s="1"/>
</calcChain>
</file>

<file path=xl/sharedStrings.xml><?xml version="1.0" encoding="utf-8"?>
<sst xmlns="http://schemas.openxmlformats.org/spreadsheetml/2006/main" count="42" uniqueCount="24">
  <si>
    <t>NFZs</t>
  </si>
  <si>
    <t>Time taken</t>
  </si>
  <si>
    <t>Average</t>
  </si>
  <si>
    <t>Corridors</t>
  </si>
  <si>
    <t>Radial</t>
  </si>
  <si>
    <t>NFZ Tests</t>
  </si>
  <si>
    <t>Maze</t>
  </si>
  <si>
    <t>Maze size (x * x)</t>
  </si>
  <si>
    <t>Scatter</t>
  </si>
  <si>
    <t>Wall</t>
  </si>
  <si>
    <t>Wall length</t>
  </si>
  <si>
    <t>&gt;60</t>
  </si>
  <si>
    <t>Real</t>
  </si>
  <si>
    <t>R1</t>
  </si>
  <si>
    <t>R2</t>
  </si>
  <si>
    <t>R3</t>
  </si>
  <si>
    <t>R4</t>
  </si>
  <si>
    <t>R5</t>
  </si>
  <si>
    <t>R6</t>
  </si>
  <si>
    <t>R7</t>
  </si>
  <si>
    <t>R8</t>
  </si>
  <si>
    <t>Time</t>
  </si>
  <si>
    <t>95th percentile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</si>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</sst>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vs NFZ corridors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Time taken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Sheet1!$A$4:$A$18</c:f>
              <c:numCache>
                <c:formatCode>General</c:formatCode>
                <c:ptCount val="1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40</c:v>
                </c:pt>
                <c:pt idx="5">
                  <c:v>80</c:v>
                </c:pt>
                <c:pt idx="6">
                  <c:v>160</c:v>
                </c:pt>
                <c:pt idx="7">
                  <c:v>320</c:v>
                </c:pt>
                <c:pt idx="8">
                  <c:v>640</c:v>
                </c:pt>
                <c:pt idx="9">
                  <c:v>1280</c:v>
                </c:pt>
                <c:pt idx="10">
                  <c:v>2560</c:v>
                </c:pt>
                <c:pt idx="11">
                  <c:v>5120</c:v>
                </c:pt>
                <c:pt idx="12">
                  <c:v>10240</c:v>
                </c:pt>
                <c:pt idx="13">
                  <c:v>20480</c:v>
                </c:pt>
                <c:pt idx="14">
                  <c:v>40960</c:v>
                </c:pt>
              </c:numCache>
            </c:numRef>
          </c:cat>
          <c:val>
            <c:numRef>
              <c:f>Sheet1!$E$4:$E$18</c:f>
              <c:numCache>
                <c:formatCode>General</c:formatCode>
                <c:ptCount val="15"/>
                <c:pt idx="0">
                  <c:v>0.30733333333333335</c:v>
                </c:pt>
                <c:pt idx="1">
                  <c:v>0.10833333333333334</c:v>
                </c:pt>
                <c:pt idx="2">
                  <c:v>8.3666666666666667E-2</c:v>
                </c:pt>
                <c:pt idx="3">
                  <c:v>8.666666666666667E-2</c:v>
                </c:pt>
                <c:pt idx="4">
                  <c:v>0.12333333333333334</c:v>
                </c:pt>
                <c:pt idx="5">
                  <c:v>0.16500000000000001</c:v>
                </c:pt>
                <c:pt idx="6">
                  <c:v>0.31033333333333335</c:v>
                </c:pt>
                <c:pt idx="7">
                  <c:v>0.48600000000000004</c:v>
                </c:pt>
                <c:pt idx="8">
                  <c:v>0.97100000000000009</c:v>
                </c:pt>
                <c:pt idx="9">
                  <c:v>1.7939999999999998</c:v>
                </c:pt>
                <c:pt idx="10">
                  <c:v>3.5100000000000002</c:v>
                </c:pt>
                <c:pt idx="11">
                  <c:v>7.0750000000000002</c:v>
                </c:pt>
                <c:pt idx="12">
                  <c:v>14.35</c:v>
                </c:pt>
                <c:pt idx="13">
                  <c:v>28.453999999999997</c:v>
                </c:pt>
                <c:pt idx="14">
                  <c:v>57.739333333333342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53B-4CC5-9221-BEE576F74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3825215"/>
        <c:axId val="1593808895"/>
      </c:lineChart>
      <c:catAx>
        <c:axId val="1593825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NFZ corridors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808895"/>
        <c:crosses val="autoZero"/>
        <c:auto val="1"/>
        <c:lblAlgn val="ctr"/>
        <c:lblOffset val="100"/>
        <c:noMultiLvlLbl val="0"/>
      </c:catAx>
      <c:valAx>
        <c:axId val="159380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(s)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82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Radial</a:t>
            </a:r>
            <a:r>
              <a:rPr lang="en-US" baseline="0"/>
              <a:t> NFZs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Time taken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Sheet1!$A$22:$A$33</c:f>
              <c:numCache>
                <c:formatCode>General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40</c:v>
                </c:pt>
                <c:pt idx="5">
                  <c:v>80</c:v>
                </c:pt>
                <c:pt idx="6">
                  <c:v>160</c:v>
                </c:pt>
                <c:pt idx="7">
                  <c:v>320</c:v>
                </c:pt>
                <c:pt idx="8">
                  <c:v>640</c:v>
                </c:pt>
                <c:pt idx="9">
                  <c:v>1280</c:v>
                </c:pt>
                <c:pt idx="10">
                  <c:v>2560</c:v>
                </c:pt>
                <c:pt idx="11">
                  <c:v>5120</c:v>
                </c:pt>
              </c:numCache>
            </c:numRef>
          </c:cat>
          <c:val>
            <c:numRef>
              <c:f>Sheet1!$E$22:$E$33</c:f>
              <c:numCache>
                <c:formatCode>General</c:formatCode>
                <c:ptCount val="12"/>
                <c:pt idx="0">
                  <c:v>0.26633333333333331</c:v>
                </c:pt>
                <c:pt idx="1">
                  <c:v>0.64200000000000002</c:v>
                </c:pt>
                <c:pt idx="2">
                  <c:v>0.19466666666666668</c:v>
                </c:pt>
                <c:pt idx="3">
                  <c:v>0.21266666666666667</c:v>
                </c:pt>
                <c:pt idx="4">
                  <c:v>0.77166666666666661</c:v>
                </c:pt>
                <c:pt idx="5">
                  <c:v>1.2983333333333336</c:v>
                </c:pt>
                <c:pt idx="6">
                  <c:v>2.4626666666666668</c:v>
                </c:pt>
                <c:pt idx="7">
                  <c:v>4.6849999999999996</c:v>
                </c:pt>
                <c:pt idx="8">
                  <c:v>9.3056666666666672</c:v>
                </c:pt>
                <c:pt idx="9">
                  <c:v>18.894666666666666</c:v>
                </c:pt>
                <c:pt idx="10">
                  <c:v>37.956666666666663</c:v>
                </c:pt>
                <c:pt idx="11">
                  <c:v>75.418666666666681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73-4BEA-A019-4B1486584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617615"/>
        <c:axId val="1246621455"/>
      </c:lineChart>
      <c:catAx>
        <c:axId val="1246617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NFZs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621455"/>
        <c:crosses val="autoZero"/>
        <c:auto val="1"/>
        <c:lblAlgn val="ctr"/>
        <c:lblOffset val="100"/>
        <c:noMultiLvlLbl val="0"/>
      </c:catAx>
      <c:valAx>
        <c:axId val="124662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61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NFZ</a:t>
            </a:r>
            <a:r>
              <a:rPr lang="en-US" baseline="0"/>
              <a:t> maze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Sheet1!$B$38</c:f>
              <c:strCache>
                <c:ptCount val="1"/>
                <c:pt idx="0">
                  <c:v>Time taken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Sheet1!$A$39:$A$46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Sheet1!$E$39:$E$46</c:f>
              <c:numCache>
                <c:formatCode>General</c:formatCode>
                <c:ptCount val="8"/>
                <c:pt idx="0">
                  <c:v>0.19733333333333336</c:v>
                </c:pt>
                <c:pt idx="1">
                  <c:v>7.1333333333333332E-2</c:v>
                </c:pt>
                <c:pt idx="2">
                  <c:v>8.7666666666666671E-2</c:v>
                </c:pt>
                <c:pt idx="3">
                  <c:v>0.19066666666666668</c:v>
                </c:pt>
                <c:pt idx="4">
                  <c:v>0.40866666666666668</c:v>
                </c:pt>
                <c:pt idx="5">
                  <c:v>1.5629999999999999</c:v>
                </c:pt>
                <c:pt idx="6">
                  <c:v>5.7909999999999995</c:v>
                </c:pt>
                <c:pt idx="7">
                  <c:v>22.530666666666665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87-4A93-AF0F-B9B27FCFB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856719"/>
        <c:axId val="763851919"/>
      </c:lineChart>
      <c:catAx>
        <c:axId val="76385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Maze side</a:t>
                </a:r>
                <a:r>
                  <a:rPr lang="en-GB" baseline="0"/>
                  <a:t> length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851919"/>
        <c:crosses val="autoZero"/>
        <c:auto val="1"/>
        <c:lblAlgn val="ctr"/>
        <c:lblOffset val="100"/>
        <c:noMultiLvlLbl val="0"/>
      </c:catAx>
      <c:valAx>
        <c:axId val="76385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85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</a:t>
            </a:r>
            <a:r>
              <a:rPr lang="en-US" baseline="0"/>
              <a:t> NFZs vs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70603674540683"/>
          <c:y val="0.15782407407407409"/>
          <c:w val="0.85673840769903764"/>
          <c:h val="0.56334317585301841"/>
        </c:manualLayout>
      </c:layout>
      <c:lineChart>
        <c:grouping val="standar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Time taken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Sheet1!$A$56:$A$70</c:f>
              <c:numCache>
                <c:formatCode>General</c:formatCode>
                <c:ptCount val="1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40</c:v>
                </c:pt>
                <c:pt idx="5">
                  <c:v>80</c:v>
                </c:pt>
                <c:pt idx="6">
                  <c:v>160</c:v>
                </c:pt>
                <c:pt idx="7">
                  <c:v>320</c:v>
                </c:pt>
                <c:pt idx="8">
                  <c:v>640</c:v>
                </c:pt>
                <c:pt idx="9">
                  <c:v>1280</c:v>
                </c:pt>
                <c:pt idx="10">
                  <c:v>2560</c:v>
                </c:pt>
                <c:pt idx="11">
                  <c:v>5120</c:v>
                </c:pt>
                <c:pt idx="12">
                  <c:v>10240</c:v>
                </c:pt>
                <c:pt idx="13">
                  <c:v>20480</c:v>
                </c:pt>
                <c:pt idx="14">
                  <c:v>40960</c:v>
                </c:pt>
              </c:numCache>
            </c:numRef>
          </c:cat>
          <c:val>
            <c:numRef>
              <c:f>Sheet1!$E$56:$E$70</c:f>
              <c:numCache>
                <c:formatCode>General</c:formatCode>
                <c:ptCount val="15"/>
                <c:pt idx="0">
                  <c:v>0.27</c:v>
                </c:pt>
                <c:pt idx="1">
                  <c:v>0.10366666666666667</c:v>
                </c:pt>
                <c:pt idx="2">
                  <c:v>8.6333333333333331E-2</c:v>
                </c:pt>
                <c:pt idx="3">
                  <c:v>0.13066666666666668</c:v>
                </c:pt>
                <c:pt idx="4">
                  <c:v>0.13133333333333333</c:v>
                </c:pt>
                <c:pt idx="5">
                  <c:v>0.17800000000000002</c:v>
                </c:pt>
                <c:pt idx="6">
                  <c:v>0.50633333333333341</c:v>
                </c:pt>
                <c:pt idx="7">
                  <c:v>9.3333333333333341E-3</c:v>
                </c:pt>
                <c:pt idx="8">
                  <c:v>6.0223333333333331</c:v>
                </c:pt>
                <c:pt idx="9">
                  <c:v>3.1666666666666669E-2</c:v>
                </c:pt>
                <c:pt idx="10">
                  <c:v>2.8999999999999998E-2</c:v>
                </c:pt>
                <c:pt idx="11">
                  <c:v>4.0333333333333332E-2</c:v>
                </c:pt>
                <c:pt idx="12">
                  <c:v>7.8E-2</c:v>
                </c:pt>
                <c:pt idx="13">
                  <c:v>0.11899999999999999</c:v>
                </c:pt>
                <c:pt idx="14">
                  <c:v>0.24399999999999999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A1-4F6B-9C5C-4C4B5033D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856719"/>
        <c:axId val="763851919"/>
      </c:lineChart>
      <c:catAx>
        <c:axId val="76385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NFZs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851919"/>
        <c:crosses val="autoZero"/>
        <c:auto val="1"/>
        <c:lblAlgn val="ctr"/>
        <c:lblOffset val="100"/>
        <c:noMultiLvlLbl val="0"/>
      </c:catAx>
      <c:valAx>
        <c:axId val="76385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85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NFZ wall vs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Time taken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Sheet1!$A$74:$A$81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cat>
          <c:val>
            <c:numRef>
              <c:f>Sheet1!$E$74:$E$81</c:f>
              <c:numCache>
                <c:formatCode>General</c:formatCode>
                <c:ptCount val="8"/>
                <c:pt idx="0">
                  <c:v>0.32400000000000001</c:v>
                </c:pt>
                <c:pt idx="1">
                  <c:v>8.7666666666666671E-2</c:v>
                </c:pt>
                <c:pt idx="2">
                  <c:v>0.36733333333333335</c:v>
                </c:pt>
                <c:pt idx="3">
                  <c:v>0.58699999999999997</c:v>
                </c:pt>
                <c:pt idx="4">
                  <c:v>1.9766666666666668</c:v>
                </c:pt>
                <c:pt idx="5">
                  <c:v>9.2789999999999999</c:v>
                </c:pt>
                <c:pt idx="6">
                  <c:v>43.610999999999997</c:v>
                </c:pt>
                <c:pt idx="7">
                  <c:v>216.1096666666667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9-4A2E-B4C0-AB96F01FC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856719"/>
        <c:axId val="763851919"/>
      </c:lineChart>
      <c:catAx>
        <c:axId val="76385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Wall</a:t>
                </a:r>
                <a:r>
                  <a:rPr lang="en-GB" baseline="0"/>
                  <a:t> length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851919"/>
        <c:crosses val="autoZero"/>
        <c:auto val="1"/>
        <c:lblAlgn val="ctr"/>
        <c:lblOffset val="100"/>
        <c:noMultiLvlLbl val="0"/>
      </c:catAx>
      <c:valAx>
        <c:axId val="76385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85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</a:t>
            </a:r>
            <a:r>
              <a:rPr lang="en-US" baseline="0"/>
              <a:t> restaurants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Sheet1!$B$91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Sheet1!$A$92:$A$99</c:f>
              <c:strCache>
                <c:ptCount val="8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  <c:pt idx="6">
                  <c:v>R7</c:v>
                </c:pt>
                <c:pt idx="7">
                  <c:v>R8</c:v>
                </c:pt>
              </c:strCache>
            </c:strRef>
          </c:cat>
          <c:val>
            <c:numRef>
              <c:f>Sheet1!$B$92:$B$99</c:f>
              <c:numCache>
                <c:formatCode>General</c:formatCode>
                <c:ptCount val="8"/>
                <c:pt idx="0">
                  <c:v>0.30599999999999999</c:v>
                </c:pt>
                <c:pt idx="1">
                  <c:v>7.0999999999999994E-2</c:v>
                </c:pt>
                <c:pt idx="2">
                  <c:v>0.14799999999999999</c:v>
                </c:pt>
                <c:pt idx="3">
                  <c:v>0.08</c:v>
                </c:pt>
                <c:pt idx="4">
                  <c:v>7.0000000000000007E-2</c:v>
                </c:pt>
                <c:pt idx="5">
                  <c:v>6.8000000000000005E-2</c:v>
                </c:pt>
                <c:pt idx="6">
                  <c:v>6.7000000000000004E-2</c:v>
                </c:pt>
                <c:pt idx="7">
                  <c:v>6.9000000000000006E-2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4-4144-997A-28A9B2D6D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664735"/>
        <c:axId val="933669535"/>
      </c:barChart>
      <c:catAx>
        <c:axId val="93366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Restaurant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669535"/>
        <c:crosses val="autoZero"/>
        <c:auto val="1"/>
        <c:lblAlgn val="ctr"/>
        <c:lblOffset val="100"/>
        <c:noMultiLvlLbl val="0"/>
      </c:catAx>
      <c:valAx>
        <c:axId val="93366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66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3810</xdr:rowOff>
    </xdr:from>
    <xdr:to>
      <xdr:col>13</xdr:col>
      <xdr:colOff>297180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AEB021-08E4-7859-5AF3-F9FB36AE9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601986</xdr:colOff>
      <xdr:row>20</xdr:row>
      <xdr:rowOff>3810</xdr:rowOff>
    </xdr:from>
    <xdr:to>
      <xdr:col>13</xdr:col>
      <xdr:colOff>297186</xdr:colOff>
      <xdr:row>35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CC8645-C355-89A7-04DF-C31184A7F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594360</xdr:colOff>
      <xdr:row>37</xdr:row>
      <xdr:rowOff>3810</xdr:rowOff>
    </xdr:from>
    <xdr:to>
      <xdr:col>13</xdr:col>
      <xdr:colOff>289560</xdr:colOff>
      <xdr:row>52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699343-C6EA-46B9-34C8-6A2DDE618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13</xdr:col>
      <xdr:colOff>304800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484F26-BE2D-49B4-A71D-769AB0EEE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73</xdr:row>
      <xdr:rowOff>0</xdr:rowOff>
    </xdr:from>
    <xdr:to>
      <xdr:col>13</xdr:col>
      <xdr:colOff>304800</xdr:colOff>
      <xdr:row>88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824BAC-9C5F-459A-8CE7-0D2448A94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89</xdr:row>
      <xdr:rowOff>179070</xdr:rowOff>
    </xdr:from>
    <xdr:to>
      <xdr:col>10</xdr:col>
      <xdr:colOff>304800</xdr:colOff>
      <xdr:row>104</xdr:row>
      <xdr:rowOff>179070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293B09A-7679-6596-3BB7-1F0100CF3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4CA0-6C11-4AA6-8CDD-7070DC40B71E}">
  <dimension ref="A1:E109"/>
  <sheetViews>
    <sheetView tabSelected="1" topLeftCell="A59" workbookViewId="0">
      <selection activeCell="C82" sqref="C82"/>
    </sheetView>
  </sheetViews>
  <sheetFormatPr defaultRowHeight="14.4" x14ac:dyDescent="0.3"/>
  <sheetData>
    <row r="1" spans="1:5" x14ac:dyDescent="0.3">
      <c r="A1" s="1" t="s">
        <v>5</v>
      </c>
    </row>
    <row r="2" spans="1:5" x14ac:dyDescent="0.3">
      <c r="A2" t="s">
        <v>3</v>
      </c>
    </row>
    <row r="3" spans="1:5" x14ac:dyDescent="0.3">
      <c r="A3" t="s">
        <v>0</v>
      </c>
      <c r="B3" t="s">
        <v>1</v>
      </c>
      <c r="E3" t="s">
        <v>2</v>
      </c>
    </row>
    <row r="4" spans="1:5" x14ac:dyDescent="0.3">
      <c r="A4">
        <f>1</f>
        <v>1</v>
      </c>
      <c r="B4">
        <v>0.27400000000000002</v>
      </c>
      <c r="C4">
        <v>0.26600000000000001</v>
      </c>
      <c r="D4">
        <v>0.38200000000000001</v>
      </c>
      <c r="E4">
        <f>AVERAGE(B4:D4)</f>
        <v>0.30733333333333335</v>
      </c>
    </row>
    <row r="5" spans="1:5" x14ac:dyDescent="0.3">
      <c r="A5">
        <f>5</f>
        <v>5</v>
      </c>
      <c r="B5">
        <v>9.5000000000000001E-2</v>
      </c>
      <c r="C5">
        <v>9.7000000000000003E-2</v>
      </c>
      <c r="D5">
        <v>0.13300000000000001</v>
      </c>
      <c r="E5">
        <f t="shared" ref="E5:E18" si="0">AVERAGE(B5:D5)</f>
        <v>0.10833333333333334</v>
      </c>
    </row>
    <row r="6" spans="1:5" x14ac:dyDescent="0.3">
      <c r="A6">
        <f t="shared" ref="A6:A18" si="1">(A5 * 2)</f>
        <v>10</v>
      </c>
      <c r="B6">
        <v>7.4999999999999997E-2</v>
      </c>
      <c r="C6">
        <v>6.7000000000000004E-2</v>
      </c>
      <c r="D6">
        <v>0.109</v>
      </c>
      <c r="E6">
        <f t="shared" si="0"/>
        <v>8.3666666666666667E-2</v>
      </c>
    </row>
    <row r="7" spans="1:5" x14ac:dyDescent="0.3">
      <c r="A7">
        <f t="shared" si="1"/>
        <v>20</v>
      </c>
      <c r="B7">
        <v>7.8E-2</v>
      </c>
      <c r="C7">
        <v>7.4999999999999997E-2</v>
      </c>
      <c r="D7">
        <v>0.107</v>
      </c>
      <c r="E7">
        <f t="shared" si="0"/>
        <v>8.666666666666667E-2</v>
      </c>
    </row>
    <row r="8" spans="1:5" x14ac:dyDescent="0.3">
      <c r="A8">
        <f t="shared" si="1"/>
        <v>40</v>
      </c>
      <c r="B8">
        <v>0.11</v>
      </c>
      <c r="C8">
        <v>0.10100000000000001</v>
      </c>
      <c r="D8">
        <v>0.159</v>
      </c>
      <c r="E8">
        <f t="shared" si="0"/>
        <v>0.12333333333333334</v>
      </c>
    </row>
    <row r="9" spans="1:5" x14ac:dyDescent="0.3">
      <c r="A9">
        <f t="shared" si="1"/>
        <v>80</v>
      </c>
      <c r="B9">
        <v>0.14899999999999999</v>
      </c>
      <c r="C9">
        <v>0.17</v>
      </c>
      <c r="D9">
        <v>0.17599999999999999</v>
      </c>
      <c r="E9">
        <f t="shared" si="0"/>
        <v>0.16500000000000001</v>
      </c>
    </row>
    <row r="10" spans="1:5" x14ac:dyDescent="0.3">
      <c r="A10">
        <f t="shared" si="1"/>
        <v>160</v>
      </c>
      <c r="B10">
        <v>0.252</v>
      </c>
      <c r="C10">
        <v>0.34599999999999997</v>
      </c>
      <c r="D10">
        <v>0.33300000000000002</v>
      </c>
      <c r="E10">
        <f t="shared" si="0"/>
        <v>0.31033333333333335</v>
      </c>
    </row>
    <row r="11" spans="1:5" x14ac:dyDescent="0.3">
      <c r="A11">
        <f t="shared" si="1"/>
        <v>320</v>
      </c>
      <c r="B11">
        <v>0.46500000000000002</v>
      </c>
      <c r="C11">
        <v>0.49</v>
      </c>
      <c r="D11">
        <v>0.503</v>
      </c>
      <c r="E11">
        <f t="shared" si="0"/>
        <v>0.48600000000000004</v>
      </c>
    </row>
    <row r="12" spans="1:5" x14ac:dyDescent="0.3">
      <c r="A12">
        <f t="shared" si="1"/>
        <v>640</v>
      </c>
      <c r="B12">
        <v>0.91</v>
      </c>
      <c r="C12">
        <v>1.0049999999999999</v>
      </c>
      <c r="D12">
        <v>0.998</v>
      </c>
      <c r="E12">
        <f t="shared" si="0"/>
        <v>0.97100000000000009</v>
      </c>
    </row>
    <row r="13" spans="1:5" x14ac:dyDescent="0.3">
      <c r="A13">
        <f t="shared" si="1"/>
        <v>1280</v>
      </c>
      <c r="B13">
        <v>1.726</v>
      </c>
      <c r="C13">
        <v>1.792</v>
      </c>
      <c r="D13">
        <v>1.8640000000000001</v>
      </c>
      <c r="E13">
        <f t="shared" si="0"/>
        <v>1.7939999999999998</v>
      </c>
    </row>
    <row r="14" spans="1:5" x14ac:dyDescent="0.3">
      <c r="A14">
        <f t="shared" si="1"/>
        <v>2560</v>
      </c>
      <c r="B14">
        <v>3.37</v>
      </c>
      <c r="C14">
        <v>3.53</v>
      </c>
      <c r="D14">
        <v>3.63</v>
      </c>
      <c r="E14">
        <f t="shared" si="0"/>
        <v>3.5100000000000002</v>
      </c>
    </row>
    <row r="15" spans="1:5" x14ac:dyDescent="0.3">
      <c r="A15">
        <f t="shared" si="1"/>
        <v>5120</v>
      </c>
      <c r="B15">
        <v>6.7889999999999997</v>
      </c>
      <c r="C15">
        <v>7.1349999999999998</v>
      </c>
      <c r="D15">
        <v>7.3010000000000002</v>
      </c>
      <c r="E15">
        <f t="shared" si="0"/>
        <v>7.0750000000000002</v>
      </c>
    </row>
    <row r="16" spans="1:5" x14ac:dyDescent="0.3">
      <c r="A16">
        <f t="shared" si="1"/>
        <v>10240</v>
      </c>
      <c r="B16">
        <v>13.86</v>
      </c>
      <c r="C16">
        <v>14.557</v>
      </c>
      <c r="D16">
        <v>14.632999999999999</v>
      </c>
      <c r="E16">
        <f t="shared" si="0"/>
        <v>14.35</v>
      </c>
    </row>
    <row r="17" spans="1:5" x14ac:dyDescent="0.3">
      <c r="A17">
        <f t="shared" si="1"/>
        <v>20480</v>
      </c>
      <c r="B17">
        <v>27.631</v>
      </c>
      <c r="C17">
        <v>28.454000000000001</v>
      </c>
      <c r="D17">
        <v>29.277000000000001</v>
      </c>
      <c r="E17">
        <f t="shared" si="0"/>
        <v>28.453999999999997</v>
      </c>
    </row>
    <row r="18" spans="1:5" x14ac:dyDescent="0.3">
      <c r="A18">
        <f t="shared" si="1"/>
        <v>40960</v>
      </c>
      <c r="B18">
        <v>56.518000000000001</v>
      </c>
      <c r="C18">
        <v>57.048999999999999</v>
      </c>
      <c r="D18">
        <v>59.651000000000003</v>
      </c>
      <c r="E18">
        <f t="shared" si="0"/>
        <v>57.739333333333342</v>
      </c>
    </row>
    <row r="20" spans="1:5" x14ac:dyDescent="0.3">
      <c r="A20" t="s">
        <v>4</v>
      </c>
    </row>
    <row r="21" spans="1:5" x14ac:dyDescent="0.3">
      <c r="A21" t="s">
        <v>0</v>
      </c>
      <c r="B21" t="s">
        <v>1</v>
      </c>
      <c r="E21" t="s">
        <v>2</v>
      </c>
    </row>
    <row r="22" spans="1:5" x14ac:dyDescent="0.3">
      <c r="A22">
        <f>1</f>
        <v>1</v>
      </c>
      <c r="B22">
        <v>0.24399999999999999</v>
      </c>
      <c r="C22">
        <v>0.29499999999999998</v>
      </c>
      <c r="D22">
        <v>0.26</v>
      </c>
      <c r="E22">
        <f>AVERAGE(B22:D22)</f>
        <v>0.26633333333333331</v>
      </c>
    </row>
    <row r="23" spans="1:5" x14ac:dyDescent="0.3">
      <c r="A23">
        <f>5</f>
        <v>5</v>
      </c>
      <c r="B23">
        <v>0.9</v>
      </c>
      <c r="C23">
        <v>0.126</v>
      </c>
      <c r="D23">
        <v>0.9</v>
      </c>
      <c r="E23">
        <f t="shared" ref="E23:E33" si="2">AVERAGE(B23:D23)</f>
        <v>0.64200000000000002</v>
      </c>
    </row>
    <row r="24" spans="1:5" x14ac:dyDescent="0.3">
      <c r="A24">
        <f>(A23 * 2)</f>
        <v>10</v>
      </c>
      <c r="B24">
        <v>0.16500000000000001</v>
      </c>
      <c r="C24">
        <v>0.218</v>
      </c>
      <c r="D24">
        <v>0.20100000000000001</v>
      </c>
      <c r="E24">
        <f t="shared" si="2"/>
        <v>0.19466666666666668</v>
      </c>
    </row>
    <row r="25" spans="1:5" x14ac:dyDescent="0.3">
      <c r="A25">
        <f t="shared" ref="A25:A33" si="3">(A24 * 2)</f>
        <v>20</v>
      </c>
      <c r="B25">
        <v>0.185</v>
      </c>
      <c r="C25">
        <v>0.25</v>
      </c>
      <c r="D25">
        <v>0.20300000000000001</v>
      </c>
      <c r="E25">
        <f t="shared" si="2"/>
        <v>0.21266666666666667</v>
      </c>
    </row>
    <row r="26" spans="1:5" x14ac:dyDescent="0.3">
      <c r="A26">
        <f t="shared" si="3"/>
        <v>40</v>
      </c>
      <c r="B26">
        <v>0.70699999999999996</v>
      </c>
      <c r="C26">
        <v>0.89</v>
      </c>
      <c r="D26">
        <v>0.71799999999999997</v>
      </c>
      <c r="E26">
        <f t="shared" si="2"/>
        <v>0.77166666666666661</v>
      </c>
    </row>
    <row r="27" spans="1:5" x14ac:dyDescent="0.3">
      <c r="A27">
        <f t="shared" si="3"/>
        <v>80</v>
      </c>
      <c r="B27">
        <v>1.2470000000000001</v>
      </c>
      <c r="C27">
        <v>1.3180000000000001</v>
      </c>
      <c r="D27">
        <v>1.33</v>
      </c>
      <c r="E27">
        <f t="shared" si="2"/>
        <v>1.2983333333333336</v>
      </c>
    </row>
    <row r="28" spans="1:5" x14ac:dyDescent="0.3">
      <c r="A28">
        <f t="shared" si="3"/>
        <v>160</v>
      </c>
      <c r="B28">
        <v>2.4049999999999998</v>
      </c>
      <c r="C28">
        <v>2.4550000000000001</v>
      </c>
      <c r="D28">
        <v>2.528</v>
      </c>
      <c r="E28">
        <f t="shared" si="2"/>
        <v>2.4626666666666668</v>
      </c>
    </row>
    <row r="29" spans="1:5" x14ac:dyDescent="0.3">
      <c r="A29">
        <f t="shared" si="3"/>
        <v>320</v>
      </c>
      <c r="B29">
        <v>4.6059999999999999</v>
      </c>
      <c r="C29">
        <v>4.6959999999999997</v>
      </c>
      <c r="D29">
        <v>4.7530000000000001</v>
      </c>
      <c r="E29">
        <f t="shared" si="2"/>
        <v>4.6849999999999996</v>
      </c>
    </row>
    <row r="30" spans="1:5" x14ac:dyDescent="0.3">
      <c r="A30">
        <f t="shared" si="3"/>
        <v>640</v>
      </c>
      <c r="B30">
        <v>9.1020000000000003</v>
      </c>
      <c r="C30">
        <v>9.3729999999999993</v>
      </c>
      <c r="D30">
        <v>9.4420000000000002</v>
      </c>
      <c r="E30">
        <f t="shared" si="2"/>
        <v>9.3056666666666672</v>
      </c>
    </row>
    <row r="31" spans="1:5" x14ac:dyDescent="0.3">
      <c r="A31">
        <f t="shared" si="3"/>
        <v>1280</v>
      </c>
      <c r="B31">
        <v>19.350000000000001</v>
      </c>
      <c r="C31">
        <v>18.629000000000001</v>
      </c>
      <c r="D31">
        <v>18.704999999999998</v>
      </c>
      <c r="E31">
        <f t="shared" si="2"/>
        <v>18.894666666666666</v>
      </c>
    </row>
    <row r="32" spans="1:5" x14ac:dyDescent="0.3">
      <c r="A32">
        <f t="shared" si="3"/>
        <v>2560</v>
      </c>
      <c r="B32">
        <v>37.363</v>
      </c>
      <c r="C32">
        <v>38.658999999999999</v>
      </c>
      <c r="D32">
        <v>37.847999999999999</v>
      </c>
      <c r="E32">
        <f t="shared" si="2"/>
        <v>37.956666666666663</v>
      </c>
    </row>
    <row r="33" spans="1:5" x14ac:dyDescent="0.3">
      <c r="A33">
        <f t="shared" si="3"/>
        <v>5120</v>
      </c>
      <c r="B33">
        <v>72.540999999999997</v>
      </c>
      <c r="C33">
        <v>78.266000000000005</v>
      </c>
      <c r="D33">
        <v>75.448999999999998</v>
      </c>
      <c r="E33">
        <f t="shared" si="2"/>
        <v>75.418666666666681</v>
      </c>
    </row>
    <row r="37" spans="1:5" x14ac:dyDescent="0.3">
      <c r="A37" t="s">
        <v>6</v>
      </c>
    </row>
    <row r="38" spans="1:5" x14ac:dyDescent="0.3">
      <c r="A38" t="s">
        <v>7</v>
      </c>
      <c r="B38" t="s">
        <v>1</v>
      </c>
      <c r="E38" t="s">
        <v>2</v>
      </c>
    </row>
    <row r="39" spans="1:5" x14ac:dyDescent="0.3">
      <c r="A39">
        <v>1</v>
      </c>
      <c r="B39">
        <v>2.8000000000000001E-2</v>
      </c>
      <c r="C39">
        <v>0.251</v>
      </c>
      <c r="D39">
        <v>0.313</v>
      </c>
      <c r="E39">
        <f>AVERAGE(B39:D39)</f>
        <v>0.19733333333333336</v>
      </c>
    </row>
    <row r="40" spans="1:5" x14ac:dyDescent="0.3">
      <c r="A40">
        <f>(A39 * 2)</f>
        <v>2</v>
      </c>
      <c r="B40">
        <v>2.7E-2</v>
      </c>
      <c r="C40">
        <v>7.5999999999999998E-2</v>
      </c>
      <c r="D40">
        <v>0.111</v>
      </c>
      <c r="E40">
        <f t="shared" ref="E40:E46" si="4">AVERAGE(B40:D40)</f>
        <v>7.1333333333333332E-2</v>
      </c>
    </row>
    <row r="41" spans="1:5" x14ac:dyDescent="0.3">
      <c r="A41">
        <f t="shared" ref="A41:A46" si="5">(A40 * 2)</f>
        <v>4</v>
      </c>
      <c r="B41">
        <v>4.2000000000000003E-2</v>
      </c>
      <c r="C41">
        <v>9.5000000000000001E-2</v>
      </c>
      <c r="D41">
        <v>0.126</v>
      </c>
      <c r="E41">
        <f t="shared" si="4"/>
        <v>8.7666666666666671E-2</v>
      </c>
    </row>
    <row r="42" spans="1:5" x14ac:dyDescent="0.3">
      <c r="A42">
        <f t="shared" si="5"/>
        <v>8</v>
      </c>
      <c r="B42">
        <v>0.115</v>
      </c>
      <c r="C42">
        <v>0.193</v>
      </c>
      <c r="D42">
        <v>0.26400000000000001</v>
      </c>
      <c r="E42">
        <f t="shared" si="4"/>
        <v>0.19066666666666668</v>
      </c>
    </row>
    <row r="43" spans="1:5" x14ac:dyDescent="0.3">
      <c r="A43">
        <f t="shared" si="5"/>
        <v>16</v>
      </c>
      <c r="B43">
        <v>0.379</v>
      </c>
      <c r="C43">
        <v>0.41299999999999998</v>
      </c>
      <c r="D43">
        <v>0.434</v>
      </c>
      <c r="E43">
        <f t="shared" si="4"/>
        <v>0.40866666666666668</v>
      </c>
    </row>
    <row r="44" spans="1:5" x14ac:dyDescent="0.3">
      <c r="A44">
        <f t="shared" si="5"/>
        <v>32</v>
      </c>
      <c r="B44">
        <v>1.381</v>
      </c>
      <c r="C44">
        <v>1.78</v>
      </c>
      <c r="D44">
        <v>1.528</v>
      </c>
      <c r="E44">
        <f t="shared" si="4"/>
        <v>1.5629999999999999</v>
      </c>
    </row>
    <row r="45" spans="1:5" x14ac:dyDescent="0.3">
      <c r="A45">
        <f t="shared" si="5"/>
        <v>64</v>
      </c>
      <c r="B45">
        <v>5.593</v>
      </c>
      <c r="C45">
        <v>6.1929999999999996</v>
      </c>
      <c r="D45">
        <v>5.5869999999999997</v>
      </c>
      <c r="E45">
        <f t="shared" si="4"/>
        <v>5.7909999999999995</v>
      </c>
    </row>
    <row r="46" spans="1:5" x14ac:dyDescent="0.3">
      <c r="A46">
        <f t="shared" si="5"/>
        <v>128</v>
      </c>
      <c r="B46">
        <v>22.86</v>
      </c>
      <c r="C46">
        <v>22.437000000000001</v>
      </c>
      <c r="D46">
        <v>22.295000000000002</v>
      </c>
      <c r="E46">
        <f t="shared" si="4"/>
        <v>22.530666666666665</v>
      </c>
    </row>
    <row r="54" spans="1:5" x14ac:dyDescent="0.3">
      <c r="A54" t="s">
        <v>8</v>
      </c>
    </row>
    <row r="55" spans="1:5" x14ac:dyDescent="0.3">
      <c r="A55" t="s">
        <v>0</v>
      </c>
      <c r="B55" t="s">
        <v>1</v>
      </c>
      <c r="E55" t="s">
        <v>2</v>
      </c>
    </row>
    <row r="56" spans="1:5" x14ac:dyDescent="0.3">
      <c r="A56">
        <v>1</v>
      </c>
      <c r="B56">
        <v>0.26100000000000001</v>
      </c>
      <c r="C56">
        <v>0.252</v>
      </c>
      <c r="D56">
        <v>0.29699999999999999</v>
      </c>
      <c r="E56">
        <f>AVERAGE(B56:D56)</f>
        <v>0.27</v>
      </c>
    </row>
    <row r="57" spans="1:5" x14ac:dyDescent="0.3">
      <c r="A57">
        <v>5</v>
      </c>
      <c r="B57">
        <v>0.11700000000000001</v>
      </c>
      <c r="C57">
        <v>8.7999999999999995E-2</v>
      </c>
      <c r="D57">
        <v>0.106</v>
      </c>
      <c r="E57">
        <f t="shared" ref="E57:E70" si="6">AVERAGE(B57:D57)</f>
        <v>0.10366666666666667</v>
      </c>
    </row>
    <row r="58" spans="1:5" x14ac:dyDescent="0.3">
      <c r="A58">
        <f>(A57 * 2)</f>
        <v>10</v>
      </c>
      <c r="B58">
        <v>8.6999999999999994E-2</v>
      </c>
      <c r="C58">
        <v>7.6999999999999999E-2</v>
      </c>
      <c r="D58">
        <v>9.5000000000000001E-2</v>
      </c>
      <c r="E58">
        <f t="shared" si="6"/>
        <v>8.6333333333333331E-2</v>
      </c>
    </row>
    <row r="59" spans="1:5" x14ac:dyDescent="0.3">
      <c r="A59">
        <f t="shared" ref="A59:A70" si="7">(A58 * 2)</f>
        <v>20</v>
      </c>
      <c r="B59">
        <v>0.12</v>
      </c>
      <c r="C59">
        <v>0.113</v>
      </c>
      <c r="D59">
        <v>0.159</v>
      </c>
      <c r="E59">
        <f t="shared" si="6"/>
        <v>0.13066666666666668</v>
      </c>
    </row>
    <row r="60" spans="1:5" x14ac:dyDescent="0.3">
      <c r="A60">
        <f t="shared" si="7"/>
        <v>40</v>
      </c>
      <c r="B60">
        <v>0.125</v>
      </c>
      <c r="C60">
        <v>0.111</v>
      </c>
      <c r="D60">
        <v>0.158</v>
      </c>
      <c r="E60">
        <f t="shared" si="6"/>
        <v>0.13133333333333333</v>
      </c>
    </row>
    <row r="61" spans="1:5" x14ac:dyDescent="0.3">
      <c r="A61">
        <f t="shared" si="7"/>
        <v>80</v>
      </c>
      <c r="B61">
        <v>0.17199999999999999</v>
      </c>
      <c r="C61">
        <v>0.17299999999999999</v>
      </c>
      <c r="D61">
        <v>0.189</v>
      </c>
      <c r="E61">
        <f t="shared" si="6"/>
        <v>0.17800000000000002</v>
      </c>
    </row>
    <row r="62" spans="1:5" x14ac:dyDescent="0.3">
      <c r="A62">
        <f t="shared" si="7"/>
        <v>160</v>
      </c>
      <c r="B62">
        <v>0.46700000000000003</v>
      </c>
      <c r="C62">
        <v>0.443</v>
      </c>
      <c r="D62">
        <v>0.60899999999999999</v>
      </c>
      <c r="E62">
        <f t="shared" si="6"/>
        <v>0.50633333333333341</v>
      </c>
    </row>
    <row r="63" spans="1:5" x14ac:dyDescent="0.3">
      <c r="A63">
        <f t="shared" si="7"/>
        <v>320</v>
      </c>
      <c r="B63">
        <v>0.01</v>
      </c>
      <c r="C63">
        <v>8.0000000000000002E-3</v>
      </c>
      <c r="D63">
        <v>0.01</v>
      </c>
      <c r="E63">
        <f t="shared" si="6"/>
        <v>9.3333333333333341E-3</v>
      </c>
    </row>
    <row r="64" spans="1:5" x14ac:dyDescent="0.3">
      <c r="A64">
        <f t="shared" si="7"/>
        <v>640</v>
      </c>
      <c r="B64">
        <v>6.1210000000000004</v>
      </c>
      <c r="C64">
        <v>6.0110000000000001</v>
      </c>
      <c r="D64">
        <v>5.9349999999999996</v>
      </c>
      <c r="E64">
        <f t="shared" si="6"/>
        <v>6.0223333333333331</v>
      </c>
    </row>
    <row r="65" spans="1:5" x14ac:dyDescent="0.3">
      <c r="A65">
        <f>(A64 * 2)</f>
        <v>1280</v>
      </c>
      <c r="B65">
        <v>2.9000000000000001E-2</v>
      </c>
      <c r="C65">
        <v>3.4000000000000002E-2</v>
      </c>
      <c r="D65">
        <v>3.2000000000000001E-2</v>
      </c>
      <c r="E65">
        <f t="shared" si="6"/>
        <v>3.1666666666666669E-2</v>
      </c>
    </row>
    <row r="66" spans="1:5" x14ac:dyDescent="0.3">
      <c r="A66">
        <f t="shared" si="7"/>
        <v>2560</v>
      </c>
      <c r="B66">
        <v>2.9000000000000001E-2</v>
      </c>
      <c r="C66">
        <v>0.03</v>
      </c>
      <c r="D66">
        <v>2.8000000000000001E-2</v>
      </c>
      <c r="E66">
        <f t="shared" si="6"/>
        <v>2.8999999999999998E-2</v>
      </c>
    </row>
    <row r="67" spans="1:5" x14ac:dyDescent="0.3">
      <c r="A67">
        <f t="shared" si="7"/>
        <v>5120</v>
      </c>
      <c r="B67">
        <v>3.5999999999999997E-2</v>
      </c>
      <c r="C67">
        <v>3.7999999999999999E-2</v>
      </c>
      <c r="D67">
        <v>4.7E-2</v>
      </c>
      <c r="E67">
        <f t="shared" si="6"/>
        <v>4.0333333333333332E-2</v>
      </c>
    </row>
    <row r="68" spans="1:5" x14ac:dyDescent="0.3">
      <c r="A68">
        <f t="shared" si="7"/>
        <v>10240</v>
      </c>
      <c r="B68">
        <v>0.08</v>
      </c>
      <c r="C68">
        <v>7.4999999999999997E-2</v>
      </c>
      <c r="D68">
        <v>7.9000000000000001E-2</v>
      </c>
      <c r="E68">
        <f t="shared" si="6"/>
        <v>7.8E-2</v>
      </c>
    </row>
    <row r="69" spans="1:5" x14ac:dyDescent="0.3">
      <c r="A69">
        <f t="shared" si="7"/>
        <v>20480</v>
      </c>
      <c r="B69">
        <v>0.111</v>
      </c>
      <c r="C69">
        <v>0.13500000000000001</v>
      </c>
      <c r="D69">
        <v>0.111</v>
      </c>
      <c r="E69">
        <f t="shared" si="6"/>
        <v>0.11899999999999999</v>
      </c>
    </row>
    <row r="70" spans="1:5" x14ac:dyDescent="0.3">
      <c r="A70">
        <f t="shared" si="7"/>
        <v>40960</v>
      </c>
      <c r="B70">
        <v>0.248</v>
      </c>
      <c r="C70">
        <v>0.24099999999999999</v>
      </c>
      <c r="D70">
        <v>0.24299999999999999</v>
      </c>
      <c r="E70">
        <f t="shared" si="6"/>
        <v>0.24399999999999999</v>
      </c>
    </row>
    <row r="72" spans="1:5" x14ac:dyDescent="0.3">
      <c r="A72" t="s">
        <v>9</v>
      </c>
    </row>
    <row r="73" spans="1:5" x14ac:dyDescent="0.3">
      <c r="A73" t="s">
        <v>10</v>
      </c>
      <c r="B73" t="s">
        <v>1</v>
      </c>
      <c r="E73" t="s">
        <v>2</v>
      </c>
    </row>
    <row r="74" spans="1:5" x14ac:dyDescent="0.3">
      <c r="A74">
        <v>5</v>
      </c>
      <c r="B74">
        <v>0.28899999999999998</v>
      </c>
      <c r="C74">
        <v>0.308</v>
      </c>
      <c r="D74">
        <v>0.375</v>
      </c>
      <c r="E74">
        <f>AVERAGE(B74:D74)</f>
        <v>0.32400000000000001</v>
      </c>
    </row>
    <row r="75" spans="1:5" x14ac:dyDescent="0.3">
      <c r="A75">
        <v>6</v>
      </c>
      <c r="B75">
        <v>7.3999999999999996E-2</v>
      </c>
      <c r="C75">
        <v>7.8E-2</v>
      </c>
      <c r="D75">
        <v>0.111</v>
      </c>
      <c r="E75">
        <f t="shared" ref="E75:E81" si="8">AVERAGE(B75:D75)</f>
        <v>8.7666666666666671E-2</v>
      </c>
    </row>
    <row r="76" spans="1:5" x14ac:dyDescent="0.3">
      <c r="A76">
        <v>7</v>
      </c>
      <c r="B76">
        <v>0.35099999999999998</v>
      </c>
      <c r="C76">
        <v>0.34</v>
      </c>
      <c r="D76">
        <v>0.41099999999999998</v>
      </c>
      <c r="E76">
        <f t="shared" si="8"/>
        <v>0.36733333333333335</v>
      </c>
    </row>
    <row r="77" spans="1:5" x14ac:dyDescent="0.3">
      <c r="A77">
        <v>8</v>
      </c>
      <c r="B77">
        <v>0.57099999999999995</v>
      </c>
      <c r="C77">
        <v>0.57899999999999996</v>
      </c>
      <c r="D77">
        <v>0.61099999999999999</v>
      </c>
      <c r="E77">
        <f t="shared" si="8"/>
        <v>0.58699999999999997</v>
      </c>
    </row>
    <row r="78" spans="1:5" x14ac:dyDescent="0.3">
      <c r="A78">
        <v>9</v>
      </c>
      <c r="B78">
        <v>1.9710000000000001</v>
      </c>
      <c r="C78">
        <v>1.974</v>
      </c>
      <c r="D78">
        <v>1.9850000000000001</v>
      </c>
      <c r="E78">
        <f t="shared" si="8"/>
        <v>1.9766666666666668</v>
      </c>
    </row>
    <row r="79" spans="1:5" x14ac:dyDescent="0.3">
      <c r="A79">
        <v>10</v>
      </c>
      <c r="B79">
        <v>8.9659999999999993</v>
      </c>
      <c r="C79">
        <v>9.2460000000000004</v>
      </c>
      <c r="D79">
        <v>9.625</v>
      </c>
      <c r="E79">
        <f t="shared" si="8"/>
        <v>9.2789999999999999</v>
      </c>
    </row>
    <row r="80" spans="1:5" x14ac:dyDescent="0.3">
      <c r="A80">
        <v>11</v>
      </c>
      <c r="B80">
        <v>43.128</v>
      </c>
      <c r="C80">
        <v>44.082999999999998</v>
      </c>
      <c r="D80">
        <v>43.622</v>
      </c>
      <c r="E80">
        <f t="shared" si="8"/>
        <v>43.610999999999997</v>
      </c>
    </row>
    <row r="81" spans="1:5" x14ac:dyDescent="0.3">
      <c r="A81">
        <v>12</v>
      </c>
      <c r="B81">
        <v>223</v>
      </c>
      <c r="C81">
        <v>221.33500000000001</v>
      </c>
      <c r="D81">
        <v>203.994</v>
      </c>
      <c r="E81">
        <f t="shared" si="8"/>
        <v>216.1096666666667</v>
      </c>
    </row>
    <row r="82" spans="1:5" x14ac:dyDescent="0.3">
      <c r="A82">
        <v>13</v>
      </c>
      <c r="B82" t="s">
        <v>11</v>
      </c>
      <c r="C82" t="s">
        <v>11</v>
      </c>
      <c r="D82" t="s">
        <v>11</v>
      </c>
    </row>
    <row r="83" spans="1:5" x14ac:dyDescent="0.3">
      <c r="A83">
        <v>14</v>
      </c>
      <c r="B83" t="s">
        <v>11</v>
      </c>
      <c r="C83" t="s">
        <v>11</v>
      </c>
      <c r="D83" t="s">
        <v>11</v>
      </c>
    </row>
    <row r="84" spans="1:5" x14ac:dyDescent="0.3">
      <c r="A84">
        <v>15</v>
      </c>
      <c r="B84" t="s">
        <v>11</v>
      </c>
      <c r="C84" t="s">
        <v>11</v>
      </c>
      <c r="D84" t="s">
        <v>11</v>
      </c>
    </row>
    <row r="91" spans="1:5" x14ac:dyDescent="0.3">
      <c r="A91" t="s">
        <v>12</v>
      </c>
      <c r="B91" t="s">
        <v>21</v>
      </c>
    </row>
    <row r="92" spans="1:5" x14ac:dyDescent="0.3">
      <c r="A92" t="s">
        <v>13</v>
      </c>
      <c r="B92">
        <v>0.30599999999999999</v>
      </c>
    </row>
    <row r="93" spans="1:5" x14ac:dyDescent="0.3">
      <c r="A93" t="s">
        <v>14</v>
      </c>
      <c r="B93">
        <v>7.0999999999999994E-2</v>
      </c>
    </row>
    <row r="94" spans="1:5" x14ac:dyDescent="0.3">
      <c r="A94" t="s">
        <v>15</v>
      </c>
      <c r="B94">
        <v>0.14799999999999999</v>
      </c>
    </row>
    <row r="95" spans="1:5" x14ac:dyDescent="0.3">
      <c r="A95" t="s">
        <v>16</v>
      </c>
      <c r="B95">
        <v>0.08</v>
      </c>
    </row>
    <row r="96" spans="1:5" x14ac:dyDescent="0.3">
      <c r="A96" t="s">
        <v>17</v>
      </c>
      <c r="B96">
        <v>7.0000000000000007E-2</v>
      </c>
    </row>
    <row r="97" spans="1:2" x14ac:dyDescent="0.3">
      <c r="A97" t="s">
        <v>18</v>
      </c>
      <c r="B97">
        <v>6.8000000000000005E-2</v>
      </c>
    </row>
    <row r="98" spans="1:2" x14ac:dyDescent="0.3">
      <c r="A98" t="s">
        <v>19</v>
      </c>
      <c r="B98">
        <v>6.7000000000000004E-2</v>
      </c>
    </row>
    <row r="99" spans="1:2" x14ac:dyDescent="0.3">
      <c r="A99" t="s">
        <v>20</v>
      </c>
      <c r="B99">
        <v>6.9000000000000006E-2</v>
      </c>
    </row>
    <row r="108" spans="1:2" x14ac:dyDescent="0.3">
      <c r="A108" t="s">
        <v>22</v>
      </c>
      <c r="B108" t="s">
        <v>23</v>
      </c>
    </row>
    <row r="109" spans="1:2" x14ac:dyDescent="0.3">
      <c r="A109">
        <f>_xlfn.PERCENTILE.INC(Times, 0.95)</f>
        <v>42.197416666666662</v>
      </c>
      <c r="B109">
        <f>MEDIAN(Times)</f>
        <v>0.28800000000000003</v>
      </c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12dfbb-ab1e-41b9-a195-ed62fcd5d8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079C10074E7E4287B4A9DB4DEA0D33" ma:contentTypeVersion="15" ma:contentTypeDescription="Create a new document." ma:contentTypeScope="" ma:versionID="ad193eebbb8cda4364aae4604f0ed435">
  <xsd:schema xmlns:xsd="http://www.w3.org/2001/XMLSchema" xmlns:xs="http://www.w3.org/2001/XMLSchema" xmlns:p="http://schemas.microsoft.com/office/2006/metadata/properties" xmlns:ns3="7612dfbb-ab1e-41b9-a195-ed62fcd5d8df" xmlns:ns4="30712086-35f7-41e5-ac89-ee39bbfdb0b4" targetNamespace="http://schemas.microsoft.com/office/2006/metadata/properties" ma:root="true" ma:fieldsID="00ca102b6d65146273bdf41a184757d1" ns3:_="" ns4:_="">
    <xsd:import namespace="7612dfbb-ab1e-41b9-a195-ed62fcd5d8df"/>
    <xsd:import namespace="30712086-35f7-41e5-ac89-ee39bbfdb0b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2dfbb-ab1e-41b9-a195-ed62fcd5d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12086-35f7-41e5-ac89-ee39bbfdb0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8ED918-D1B8-49A4-B54A-45D6A88864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8C994E-F0DA-40C1-B3E8-DFBFA172930F}">
  <ds:schemaRefs>
    <ds:schemaRef ds:uri="http://schemas.microsoft.com/office/infopath/2007/PartnerControls"/>
    <ds:schemaRef ds:uri="30712086-35f7-41e5-ac89-ee39bbfdb0b4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7612dfbb-ab1e-41b9-a195-ed62fcd5d8df"/>
    <ds:schemaRef ds:uri="http://schemas.microsoft.com/office/2006/metadata/properties"/>
    <ds:schemaRef ds:uri="http://purl.org/dc/elements/1.1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51FA5C5D-9BB2-4957-A9C9-3EB23332E4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12dfbb-ab1e-41b9-a195-ed62fcd5d8df"/>
    <ds:schemaRef ds:uri="30712086-35f7-41e5-ac89-ee39bbfdb0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Sholto Kinghorn</dc:creator>
  <cp:lastModifiedBy>Sholto Kinghorn</cp:lastModifiedBy>
  <dcterms:created xsi:type="dcterms:W3CDTF">2026-01-12T11:42:15Z</dcterms:created>
  <dcterms:modified xsi:type="dcterms:W3CDTF">2026-01-21T18:19:32Z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0x01010097079C10074E7E4287B4A9DB4DEA0D33</vt:lpwstr>
  </property>
</Properties>
</file>